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2/"/>
    </mc:Choice>
  </mc:AlternateContent>
  <xr:revisionPtr revIDLastSave="0" documentId="13_ncr:1_{5F5BE04E-BF73-9446-80A8-BA60F485EB41}" xr6:coauthVersionLast="47" xr6:coauthVersionMax="47" xr10:uidLastSave="{00000000-0000-0000-0000-000000000000}"/>
  <bookViews>
    <workbookView xWindow="0" yWindow="760" windowWidth="31520" windowHeight="170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/>
  <c r="H42" i="1"/>
  <c r="I42" i="1"/>
  <c r="F42" i="1"/>
  <c r="G42" i="1" s="1"/>
  <c r="D42" i="1"/>
  <c r="E42" i="1"/>
  <c r="J41" i="1"/>
  <c r="K41" i="1" s="1"/>
  <c r="H41" i="1"/>
  <c r="I41" i="1"/>
  <c r="F41" i="1"/>
  <c r="G41" i="1" s="1"/>
  <c r="D41" i="1"/>
  <c r="E41" i="1"/>
  <c r="J40" i="1"/>
  <c r="K40" i="1" s="1"/>
  <c r="H40" i="1"/>
  <c r="I40" i="1"/>
  <c r="F40" i="1"/>
  <c r="G40" i="1"/>
  <c r="D40" i="1"/>
  <c r="E40" i="1" s="1"/>
  <c r="J39" i="1"/>
  <c r="K39" i="1"/>
  <c r="H39" i="1"/>
  <c r="I39" i="1"/>
  <c r="F39" i="1"/>
  <c r="G39" i="1" s="1"/>
  <c r="D39" i="1"/>
  <c r="E39" i="1"/>
  <c r="J32" i="1"/>
  <c r="K32" i="1"/>
  <c r="H32" i="1"/>
  <c r="I32" i="1"/>
  <c r="F32" i="1"/>
  <c r="G32" i="1"/>
  <c r="D32" i="1"/>
  <c r="E32" i="1" s="1"/>
  <c r="J31" i="1"/>
  <c r="K31" i="1" s="1"/>
  <c r="H31" i="1"/>
  <c r="I31" i="1" s="1"/>
  <c r="F31" i="1"/>
  <c r="G31" i="1"/>
  <c r="D31" i="1"/>
  <c r="E31" i="1"/>
  <c r="J30" i="1"/>
  <c r="K30" i="1"/>
  <c r="H30" i="1"/>
  <c r="I30" i="1" s="1"/>
  <c r="F30" i="1"/>
  <c r="G30" i="1" s="1"/>
  <c r="D30" i="1"/>
  <c r="E30" i="1" s="1"/>
  <c r="J29" i="1"/>
  <c r="K29" i="1"/>
  <c r="H29" i="1"/>
  <c r="I29" i="1"/>
  <c r="F29" i="1"/>
  <c r="G29" i="1"/>
  <c r="D29" i="1"/>
  <c r="E29" i="1" s="1"/>
  <c r="J28" i="1"/>
  <c r="K28" i="1" s="1"/>
  <c r="H28" i="1"/>
  <c r="I28" i="1" s="1"/>
  <c r="F28" i="1"/>
  <c r="G28" i="1"/>
  <c r="D28" i="1"/>
  <c r="E28" i="1"/>
  <c r="J27" i="1"/>
  <c r="K27" i="1"/>
  <c r="H27" i="1"/>
  <c r="I27" i="1" s="1"/>
  <c r="F27" i="1"/>
  <c r="G27" i="1" s="1"/>
  <c r="D27" i="1"/>
  <c r="E27" i="1" s="1"/>
  <c r="J26" i="1"/>
  <c r="K26" i="1"/>
  <c r="H26" i="1"/>
  <c r="I26" i="1"/>
  <c r="F26" i="1"/>
  <c r="G26" i="1"/>
  <c r="G33" i="1" s="1"/>
  <c r="D26" i="1"/>
  <c r="E26" i="1" s="1"/>
  <c r="K85" i="1"/>
  <c r="E85" i="1"/>
  <c r="I85" i="1"/>
  <c r="G85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 s="1"/>
  <c r="D17" i="1"/>
  <c r="E17" i="1" s="1"/>
  <c r="D18" i="1"/>
  <c r="E18" i="1"/>
  <c r="D19" i="1"/>
  <c r="E19" i="1"/>
  <c r="F17" i="1"/>
  <c r="G17" i="1"/>
  <c r="H17" i="1"/>
  <c r="I17" i="1"/>
  <c r="J17" i="1"/>
  <c r="K17" i="1" s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/>
  <c r="J13" i="1"/>
  <c r="K13" i="1"/>
  <c r="H13" i="1"/>
  <c r="I13" i="1"/>
  <c r="F13" i="1"/>
  <c r="G13" i="1"/>
  <c r="I72" i="1" l="1"/>
  <c r="E72" i="1"/>
  <c r="G72" i="1"/>
  <c r="K72" i="1"/>
  <c r="C72" i="1" s="1"/>
  <c r="C73" i="1" s="1"/>
  <c r="D5" i="1" s="1"/>
  <c r="G59" i="1"/>
  <c r="I59" i="1"/>
  <c r="E59" i="1"/>
  <c r="K59" i="1"/>
  <c r="C59" i="1" s="1"/>
  <c r="C60" i="1" s="1"/>
  <c r="D4" i="1" s="1"/>
  <c r="E46" i="1"/>
  <c r="I46" i="1"/>
  <c r="G46" i="1"/>
  <c r="C46" i="1" s="1"/>
  <c r="C47" i="1" s="1"/>
  <c r="C6" i="1" s="1"/>
  <c r="E6" i="1" s="1"/>
  <c r="K46" i="1"/>
  <c r="I33" i="1"/>
  <c r="E33" i="1"/>
  <c r="K33" i="1"/>
  <c r="K20" i="1"/>
  <c r="E20" i="1"/>
  <c r="I20" i="1"/>
  <c r="G20" i="1"/>
  <c r="C33" i="1" l="1"/>
  <c r="C34" i="1" s="1"/>
  <c r="C5" i="1" s="1"/>
  <c r="E5" i="1" s="1"/>
  <c r="C20" i="1"/>
  <c r="C21" i="1" s="1"/>
  <c r="C4" i="1" s="1"/>
  <c r="E4" i="1" s="1"/>
</calcChain>
</file>

<file path=xl/sharedStrings.xml><?xml version="1.0" encoding="utf-8"?>
<sst xmlns="http://schemas.openxmlformats.org/spreadsheetml/2006/main" count="166" uniqueCount="68">
  <si>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</si>
  <si>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</si>
  <si>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</si>
  <si>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</si>
  <si>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</si>
  <si>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</si>
  <si>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</si>
  <si>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</si>
  <si>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</si>
  <si>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</si>
  <si>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</si>
  <si>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</si>
  <si>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</si>
  <si>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</si>
  <si>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</si>
  <si>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</si>
  <si>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</si>
  <si>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</si>
  <si>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</si>
  <si>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</si>
  <si>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</si>
  <si>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</si>
  <si>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</si>
  <si>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</si>
  <si>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</si>
  <si>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</si>
  <si>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</si>
  <si>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</si>
  <si>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</si>
  <si>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</si>
  <si>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</si>
  <si>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</si>
  <si>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</si>
  <si>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</si>
  <si>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</si>
  <si>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</si>
  <si>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</si>
  <si>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</si>
  <si>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</si>
  <si>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</si>
  <si>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</si>
  <si>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</si>
  <si>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</si>
  <si>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</si>
  <si>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</si>
  <si>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</si>
  <si>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</si>
  <si>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</si>
  <si>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</si>
  <si>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</si>
  <si>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</si>
  <si>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</si>
  <si>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</si>
  <si>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</si>
  <si>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</si>
  <si>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</si>
  <si>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</si>
  <si>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</si>
  <si>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</si>
  <si>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</si>
  <si>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</si>
  <si>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</si>
  <si>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</si>
  <si>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Leandro Marcelo</t>
  </si>
  <si>
    <t>Antonio Loza</t>
  </si>
  <si>
    <t>Observaciones</t>
  </si>
  <si>
    <t>Improvisación de la presentacíón y demora en partir</t>
  </si>
  <si>
    <t>Hay algunos detalles en la arquitectura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</si>
</sst>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72" zoomScale="120" zoomScaleNormal="120" workbookViewId="0">
      <selection activeCell="C65" sqref="C65:C69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9">
        <v>0.7</v>
      </c>
      <c r="D2" s="32">
        <v>0.3</v>
      </c>
      <c r="E2" s="33">
        <v>1</v>
      </c>
    </row>
    <row r="3" spans="1:11" ht="16" x14ac:dyDescent="0.2">
      <c r="B3" s="2" t="s">
        <v>0</v>
      </c>
      <c r="C3" s="30" t="s">
        <v>1</v>
      </c>
      <c r="D3" s="34" t="s">
        <v>2</v>
      </c>
      <c r="E3" s="35" t="s">
        <v>3</v>
      </c>
    </row>
    <row r="4" spans="1:11" ht="17" x14ac:dyDescent="0.2">
      <c r="A4" s="3">
        <v>1</v>
      </c>
      <c r="B4" s="39" t="s">
        <v>63</v>
      </c>
      <c r="C4" s="31">
        <f>C21</f>
        <v>5.0999999999999996</v>
      </c>
      <c r="D4" s="37">
        <f>C60</f>
        <v>4.8</v>
      </c>
      <c r="E4" s="36">
        <f>C4*C$2+D4*D$2</f>
        <v>5.01</v>
      </c>
    </row>
    <row r="5" spans="1:11" ht="17" x14ac:dyDescent="0.2">
      <c r="A5" s="3">
        <v>2</v>
      </c>
      <c r="B5" s="39" t="s">
        <v>64</v>
      </c>
      <c r="C5" s="31">
        <f>C34</f>
        <v>5.0999999999999996</v>
      </c>
      <c r="D5" s="37">
        <f>C73</f>
        <v>4.8</v>
      </c>
      <c r="E5" s="36">
        <f t="shared" ref="E5:E6" si="0">C5*C$2+D5*D$2</f>
        <v>5.01</v>
      </c>
    </row>
    <row r="6" spans="1:11" x14ac:dyDescent="0.2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9" outlineLevel="1" x14ac:dyDescent="0.2">
      <c r="A11" s="40" t="s">
        <v>4</v>
      </c>
      <c r="B11" s="11" t="str">
        <f>B4</f>
        <v>Leandro Marcelo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6" outlineLevel="1" x14ac:dyDescent="0.2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2"/>
      <c r="B15" s="19" t="str">
        <f>RUBRICA!A6</f>
        <v>3. Responde las preguntas realizadas por la comisión, cumpliendo con los estándares de calidad de la disciplina.</v>
      </c>
      <c r="C15" s="17" t="s">
        <v>9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2"/>
      <c r="B16" s="19" t="str">
        <f>RUBRICA!A7</f>
        <v>4. Expone el Proyecto APT, considerando el formato y el tiempo establecido para la presentación.</v>
      </c>
      <c r="C16" s="17" t="s">
        <v>61</v>
      </c>
      <c r="D16" s="12" t="str">
        <f t="shared" si="1"/>
        <v/>
      </c>
      <c r="E16" s="12" t="str">
        <f>IF(D16="X",100*0.05,"")</f>
        <v/>
      </c>
      <c r="F16" s="12" t="str">
        <f t="shared" si="2"/>
        <v/>
      </c>
      <c r="G16" s="12" t="str">
        <f>IF(F16="X",60*0.05,"")</f>
        <v/>
      </c>
      <c r="H16" s="12" t="str">
        <f t="shared" si="3"/>
        <v>X</v>
      </c>
      <c r="I16" s="12">
        <f>IF(H16="X",30*0.05,"")</f>
        <v>1.5</v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2"/>
      <c r="B17" s="19" t="str">
        <f>RUBRICA!A8</f>
        <v>5. Expresa sus ideas con fluidez, claridad y precisión, utilizando lenguaje técnico propio de la disciplina.</v>
      </c>
      <c r="C17" s="17" t="s">
        <v>61</v>
      </c>
      <c r="D17" s="12" t="str">
        <f t="shared" si="1"/>
        <v/>
      </c>
      <c r="E17" s="12" t="str">
        <f>IF(D17="X",100*0.05,"")</f>
        <v/>
      </c>
      <c r="F17" s="12" t="str">
        <f t="shared" si="2"/>
        <v/>
      </c>
      <c r="G17" s="12" t="str">
        <f>IF(F17="X",60*0.05,"")</f>
        <v/>
      </c>
      <c r="H17" s="12" t="str">
        <f t="shared" si="3"/>
        <v>X</v>
      </c>
      <c r="I17" s="12">
        <f>IF(H17="X",30*0.05,"")</f>
        <v>1.5</v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1"/>
      <c r="B20" s="18" t="s">
        <v>12</v>
      </c>
      <c r="C20" s="22">
        <f>E20+G20+I20+K20</f>
        <v>75</v>
      </c>
      <c r="D20" s="13"/>
      <c r="E20" s="13">
        <f>SUM(E13:E19)</f>
        <v>45</v>
      </c>
      <c r="F20" s="13"/>
      <c r="G20" s="13">
        <f>SUM(G13:G19)</f>
        <v>27</v>
      </c>
      <c r="H20" s="13"/>
      <c r="I20" s="13">
        <f>SUM(I13:I19)</f>
        <v>3</v>
      </c>
      <c r="J20" s="13"/>
      <c r="K20" s="13">
        <f>SUM(K13:K19)</f>
        <v>0</v>
      </c>
    </row>
    <row r="21" spans="1:11" ht="15.75" customHeight="1" outlineLevel="1" x14ac:dyDescent="0.25">
      <c r="A21" s="43"/>
      <c r="B21" s="21" t="s">
        <v>13</v>
      </c>
      <c r="C21" s="14">
        <f>VLOOKUP(C20,ESCALA_IEP!A2:B202,2,FALSE)</f>
        <v>5.0999999999999996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0" t="s">
        <v>4</v>
      </c>
      <c r="B24" s="11" t="str">
        <f>B5</f>
        <v>Antonio Loza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2"/>
      <c r="B28" s="19" t="str">
        <f>RUBRICA!A6</f>
        <v>3. Responde las preguntas realizadas por la comisión, cumpliendo con los estándares de calidad de la disciplina.</v>
      </c>
      <c r="C28" s="17" t="s">
        <v>9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2"/>
      <c r="B29" s="19" t="str">
        <f>RUBRICA!A7</f>
        <v>4. Expone el Proyecto APT, considerando el formato y el tiempo establecido para la presentación.</v>
      </c>
      <c r="C29" s="17" t="s">
        <v>61</v>
      </c>
      <c r="D29" s="12" t="str">
        <f t="shared" si="7"/>
        <v/>
      </c>
      <c r="E29" s="12" t="str">
        <f>IF(D29="X",100*0.05,"")</f>
        <v/>
      </c>
      <c r="F29" s="12" t="str">
        <f t="shared" si="8"/>
        <v/>
      </c>
      <c r="G29" s="12" t="str">
        <f>IF(F29="X",60*0.05,"")</f>
        <v/>
      </c>
      <c r="H29" s="12" t="str">
        <f t="shared" si="9"/>
        <v>X</v>
      </c>
      <c r="I29" s="12">
        <f>IF(H29="X",30*0.05,"")</f>
        <v>1.5</v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2"/>
      <c r="B30" s="19" t="str">
        <f>RUBRICA!A8</f>
        <v>5. Expresa sus ideas con fluidez, claridad y precisión, utilizando lenguaje técnico propio de la disciplina.</v>
      </c>
      <c r="C30" s="17" t="s">
        <v>61</v>
      </c>
      <c r="D30" s="12" t="str">
        <f t="shared" si="7"/>
        <v/>
      </c>
      <c r="E30" s="12" t="str">
        <f>IF(D30="X",100*0.05,"")</f>
        <v/>
      </c>
      <c r="F30" s="12" t="str">
        <f t="shared" si="8"/>
        <v/>
      </c>
      <c r="G30" s="12" t="str">
        <f>IF(F30="X",60*0.05,"")</f>
        <v/>
      </c>
      <c r="H30" s="12" t="str">
        <f t="shared" si="9"/>
        <v>X</v>
      </c>
      <c r="I30" s="12">
        <f>IF(H30="X",30*0.05,"")</f>
        <v>1.5</v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1"/>
      <c r="B33" s="18" t="s">
        <v>12</v>
      </c>
      <c r="C33" s="22">
        <f>E33+G33+I33+K33</f>
        <v>75</v>
      </c>
      <c r="D33" s="13"/>
      <c r="E33" s="13">
        <f>SUM(E26:E32)</f>
        <v>45</v>
      </c>
      <c r="F33" s="13"/>
      <c r="G33" s="13">
        <f>SUM(G26:G32)</f>
        <v>27</v>
      </c>
      <c r="H33" s="13"/>
      <c r="I33" s="13">
        <f>SUM(I26:I32)</f>
        <v>3</v>
      </c>
      <c r="J33" s="13"/>
      <c r="K33" s="13">
        <f>SUM(K26:K32)</f>
        <v>0</v>
      </c>
    </row>
    <row r="34" spans="1:11" ht="24" customHeight="1" x14ac:dyDescent="0.25">
      <c r="A34" s="43"/>
      <c r="B34" s="21" t="s">
        <v>13</v>
      </c>
      <c r="C34" s="14">
        <f>VLOOKUP(C33,ESCALA_IEP!A15:B215,2,FALSE)</f>
        <v>5.0999999999999996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9" t="s">
        <v>14</v>
      </c>
      <c r="B50" s="11" t="str">
        <f>B4</f>
        <v>Leandro Marcelo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61</v>
      </c>
      <c r="D53" s="12" t="str">
        <f t="shared" si="17"/>
        <v/>
      </c>
      <c r="E53" s="12" t="str">
        <f>IF(D53="X",100*0.25,"")</f>
        <v/>
      </c>
      <c r="F53" s="12" t="str">
        <f t="shared" si="18"/>
        <v/>
      </c>
      <c r="G53" s="12" t="str">
        <f>IF(F53="X",60*0.25,"")</f>
        <v/>
      </c>
      <c r="H53" s="12" t="str">
        <f t="shared" si="19"/>
        <v>X</v>
      </c>
      <c r="I53" s="12">
        <f>IF(H53="X",30*0.25,"")</f>
        <v>7.5</v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2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2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2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1"/>
      <c r="B59" s="18" t="s">
        <v>12</v>
      </c>
      <c r="C59" s="22">
        <f>E59+G59+I59+K59</f>
        <v>70.5</v>
      </c>
      <c r="D59" s="13"/>
      <c r="E59" s="13">
        <f>SUM(E52:E58)</f>
        <v>45</v>
      </c>
      <c r="F59" s="13"/>
      <c r="G59" s="13">
        <f>SUM(G52:G58)</f>
        <v>18</v>
      </c>
      <c r="H59" s="13"/>
      <c r="I59" s="13">
        <f>SUM(I52:I58)</f>
        <v>7.5</v>
      </c>
      <c r="J59" s="13"/>
      <c r="K59" s="13">
        <f>SUM(K52:K58)</f>
        <v>0</v>
      </c>
    </row>
    <row r="60" spans="1:11" ht="24" customHeight="1" x14ac:dyDescent="0.25">
      <c r="A60" s="43"/>
      <c r="B60" s="21" t="s">
        <v>13</v>
      </c>
      <c r="C60" s="14">
        <f>VLOOKUP(C59,ESCALA_IEP!A41:B241,2,FALSE)</f>
        <v>4.8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9" t="s">
        <v>15</v>
      </c>
      <c r="B63" s="11" t="str">
        <f>B5</f>
        <v>Antonio Loza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61</v>
      </c>
      <c r="D66" s="12" t="str">
        <f t="shared" si="22"/>
        <v/>
      </c>
      <c r="E66" s="12" t="str">
        <f>IF(D66="X",100*0.25,"")</f>
        <v/>
      </c>
      <c r="F66" s="12" t="str">
        <f t="shared" si="23"/>
        <v/>
      </c>
      <c r="G66" s="12" t="str">
        <f>IF(F66="X",60*0.25,"")</f>
        <v/>
      </c>
      <c r="H66" s="12" t="str">
        <f t="shared" si="24"/>
        <v>X</v>
      </c>
      <c r="I66" s="12">
        <f>IF(H66="X",30*0.25,"")</f>
        <v>7.5</v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2"/>
      <c r="B67" s="19" t="str">
        <f>RUBRICA!A6</f>
        <v>3. Responde las preguntas realizadas por la comisión, cumpliendo con los estándares de calidad de la disciplina.</v>
      </c>
      <c r="C67" s="17" t="s">
        <v>9</v>
      </c>
      <c r="D67" s="12" t="str">
        <f t="shared" si="22"/>
        <v/>
      </c>
      <c r="E67" s="12" t="str">
        <f>IF(D67="X",100*0.2,"")</f>
        <v/>
      </c>
      <c r="F67" s="12" t="str">
        <f t="shared" si="23"/>
        <v>X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2"/>
      <c r="B68" s="19" t="str">
        <f>RUBRICA!A7</f>
        <v>4. Expone el Proyecto APT, considerando el formato y el tiempo establecido para la presentación.</v>
      </c>
      <c r="C68" s="17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2"/>
      <c r="B69" s="19" t="str">
        <f>RUBRICA!A8</f>
        <v>5. Expresa sus ideas con fluidez, claridad y precisión, utilizando lenguaje técnico propio de la disciplina.</v>
      </c>
      <c r="C69" s="17" t="s">
        <v>9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1"/>
      <c r="B72" s="18" t="s">
        <v>12</v>
      </c>
      <c r="C72" s="22">
        <f>E72+G72+I72+K72</f>
        <v>70.5</v>
      </c>
      <c r="D72" s="13"/>
      <c r="E72" s="13">
        <f>SUM(E65:E71)</f>
        <v>45</v>
      </c>
      <c r="F72" s="13"/>
      <c r="G72" s="13">
        <f>SUM(G65:G71)</f>
        <v>18</v>
      </c>
      <c r="H72" s="13"/>
      <c r="I72" s="13">
        <f>SUM(I65:I71)</f>
        <v>7.5</v>
      </c>
      <c r="J72" s="13"/>
      <c r="K72" s="13">
        <f>SUM(K65:K71)</f>
        <v>0</v>
      </c>
    </row>
    <row r="73" spans="1:11" ht="24" customHeight="1" x14ac:dyDescent="0.25">
      <c r="A73" s="43"/>
      <c r="B73" s="21" t="s">
        <v>13</v>
      </c>
      <c r="C73" s="14">
        <f>VLOOKUP(C72,ESCALA_IEP!A54:B254,2,FALSE)</f>
        <v>4.8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>
      <c r="B88" t="s">
        <v>65</v>
      </c>
    </row>
    <row r="89" spans="1:11" ht="15.75" customHeight="1" x14ac:dyDescent="0.2">
      <c r="B89" t="s">
        <v>66</v>
      </c>
    </row>
    <row r="90" spans="1:11" ht="15.75" customHeight="1" x14ac:dyDescent="0.2">
      <c r="B90" t="s">
        <v>67</v>
      </c>
    </row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C39:C45 C52:C58 C26:C32 C65:C71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ht="16" x14ac:dyDescent="0.2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">
      <c r="A3" s="51"/>
      <c r="B3" s="56"/>
      <c r="C3" s="56"/>
      <c r="D3" s="27">
        <v>0.3</v>
      </c>
      <c r="E3" s="27">
        <v>0</v>
      </c>
      <c r="F3" s="51"/>
    </row>
    <row r="4" spans="1:6" ht="105" x14ac:dyDescent="0.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7" customHeight="1" x14ac:dyDescent="0.2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0" x14ac:dyDescent="0.2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0" x14ac:dyDescent="0.2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0" x14ac:dyDescent="0.2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7" t="s">
        <v>60</v>
      </c>
      <c r="B1" s="4" t="s">
        <v>12</v>
      </c>
      <c r="C1" s="5"/>
      <c r="D1" s="5"/>
      <c r="E1" s="6"/>
    </row>
    <row r="2" spans="1:5" ht="49" thickBot="1" x14ac:dyDescent="0.2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2025-12-10T01:23:34Z</dcterms:modified>
  <cp:category/>
  <cp:contentStatus/>
</cp:coreProperties>
</file>